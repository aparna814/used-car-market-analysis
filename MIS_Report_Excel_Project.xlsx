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13" documentId="11_B22651AE4C8DFD3C5FFD97F47F1B1933F62874A2" xr6:coauthVersionLast="47" xr6:coauthVersionMax="47" xr10:uidLastSave="{9A71507A-8388-4ACF-B81D-F8BED728BB1D}"/>
  <bookViews>
    <workbookView xWindow="0" yWindow="0" windowWidth="16384" windowHeight="8192" tabRatio="500" firstSheet="4" activeTab="4" xr2:uid="{00000000-000D-0000-FFFF-FFFF00000000}"/>
  </bookViews>
  <sheets>
    <sheet name="EmployeeData" sheetId="1" r:id="rId1"/>
    <sheet name="DeptBudget" sheetId="2" r:id="rId2"/>
    <sheet name="QuarterlyTargets" sheetId="3" r:id="rId3"/>
    <sheet name="MIS Summary" sheetId="4" r:id="rId4"/>
    <sheet name="Pivot Analysis" sheetId="5" r:id="rId5"/>
  </sheets>
  <calcPr calcId="191028" iterateDelta="1E-4"/>
  <pivotCaches>
    <pivotCache cacheId="24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4" l="1"/>
  <c r="E8" i="4"/>
  <c r="D8" i="4"/>
  <c r="C8" i="4"/>
  <c r="B8" i="4"/>
  <c r="E7" i="4"/>
  <c r="D7" i="4"/>
  <c r="C7" i="4"/>
  <c r="B7" i="4"/>
  <c r="E6" i="4"/>
  <c r="D6" i="4"/>
  <c r="C6" i="4"/>
  <c r="B6" i="4"/>
  <c r="D5" i="4"/>
  <c r="C5" i="4"/>
  <c r="B5" i="4"/>
  <c r="E4" i="4"/>
  <c r="D4" i="4"/>
  <c r="C4" i="4"/>
  <c r="B4" i="4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<sst xmlns="http://schemas.openxmlformats.org/spreadsheetml/2006/main" count="135" uniqueCount="66">
  <si>
    <t>EmpID</t>
  </si>
  <si>
    <t>Name</t>
  </si>
  <si>
    <t>Department</t>
  </si>
  <si>
    <t>Role</t>
  </si>
  <si>
    <t>Monthly Salary (₹)</t>
  </si>
  <si>
    <t>Attendance %</t>
  </si>
  <si>
    <t>Dept Budget (₹) [VLOOKUP]</t>
  </si>
  <si>
    <t>Aditi</t>
  </si>
  <si>
    <t>Sales</t>
  </si>
  <si>
    <t>Sales Executive</t>
  </si>
  <si>
    <t>Rohan</t>
  </si>
  <si>
    <t>Sales Associate</t>
  </si>
  <si>
    <t>Priya</t>
  </si>
  <si>
    <t>Karan</t>
  </si>
  <si>
    <t>Neha</t>
  </si>
  <si>
    <t>Arjun</t>
  </si>
  <si>
    <t>Simran</t>
  </si>
  <si>
    <t>HR</t>
  </si>
  <si>
    <t>HR Associate</t>
  </si>
  <si>
    <t>Vikram</t>
  </si>
  <si>
    <t>Recruiter</t>
  </si>
  <si>
    <t>Isha</t>
  </si>
  <si>
    <t>Rahul</t>
  </si>
  <si>
    <t>Pooja</t>
  </si>
  <si>
    <t>Aman</t>
  </si>
  <si>
    <t>Divya</t>
  </si>
  <si>
    <t>IT</t>
  </si>
  <si>
    <t>Support Engineer</t>
  </si>
  <si>
    <t>Sanjay</t>
  </si>
  <si>
    <t>Data Analyst</t>
  </si>
  <si>
    <t>Tanvi</t>
  </si>
  <si>
    <t>Manish</t>
  </si>
  <si>
    <t>Ritu</t>
  </si>
  <si>
    <t>Ankit</t>
  </si>
  <si>
    <t>Sneha</t>
  </si>
  <si>
    <t>Finance</t>
  </si>
  <si>
    <t>Accounts Executive</t>
  </si>
  <si>
    <t>Yash</t>
  </si>
  <si>
    <t>Finance Associate</t>
  </si>
  <si>
    <t>Meera</t>
  </si>
  <si>
    <t>Gaurav</t>
  </si>
  <si>
    <t>Kavya</t>
  </si>
  <si>
    <t>Nikhil</t>
  </si>
  <si>
    <t>Anjali</t>
  </si>
  <si>
    <t>Marketing</t>
  </si>
  <si>
    <t>Marketing Associate</t>
  </si>
  <si>
    <t>Suresh</t>
  </si>
  <si>
    <t>Content Executive</t>
  </si>
  <si>
    <t>Payal</t>
  </si>
  <si>
    <t>Rajesh</t>
  </si>
  <si>
    <t>Shreya</t>
  </si>
  <si>
    <t>Varun</t>
  </si>
  <si>
    <t>Monthly Budget (₹)</t>
  </si>
  <si>
    <t>Headcount Target</t>
  </si>
  <si>
    <t>Source: sample assumptions set for this project (not real company data)</t>
  </si>
  <si>
    <t>Metric</t>
  </si>
  <si>
    <t>Revenue Target (₹L)</t>
  </si>
  <si>
    <t>Monthly MIS Report — Department Summary</t>
  </si>
  <si>
    <t>Headcount</t>
  </si>
  <si>
    <t>Total Salary (₹)</t>
  </si>
  <si>
    <t>Avg Attendance %</t>
  </si>
  <si>
    <t>Revenue Target (₹L) [HLOOKUP]</t>
  </si>
  <si>
    <t>Note: figures are sample data built for this practice project, not real company records.</t>
  </si>
  <si>
    <t>Sum of monthly salary</t>
  </si>
  <si>
    <t>Average of Attendance %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</si>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</sst>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color rgb="FF666666"/>
      <name val="Arial"/>
      <charset val="1"/>
    </font>
    <font>
      <b/>
      <sz val="14"/>
      <color rgb="FF1F3864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0" xfId="0" applyFont="1"/>
    <xf numFmtId="0" fontId="0" fillId="0" borderId="0" xfId="0" pivotButton="1"/>
    <xf numFmtId="0" fontId="0" fillId="0" borderId="0" xfId="0" applyNumberFormat="1"/>
    <xf numFmtId="0" fontId="4" fillId="0" borderId="0" xfId="0" applyFont="1" applyBorder="1" applyAlignment="1"/>
    <xf numFmtId="0" fontId="0" fillId="3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Monthly Salary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'MIS Summary'!C3</c:f>
              <c:strCache>
                <c:ptCount val="1"/>
                <c:pt idx="0">
                  <c:v>Total Salary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'MIS Summary'!$A$4:$A$8</c:f>
              <c:strCache>
                <c:ptCount val="5"/>
                <c:pt idx="0">
                  <c:v>Sales</c:v>
                </c:pt>
                <c:pt idx="1">
                  <c:v>HR</c:v>
                </c:pt>
                <c:pt idx="2">
                  <c:v>IT</c:v>
                </c:pt>
                <c:pt idx="3">
                  <c:v>Finance</c:v>
                </c:pt>
                <c:pt idx="4">
                  <c:v>Marketing</c:v>
                </c:pt>
              </c:strCache>
            </c:strRef>
          </c:cat>
          <c:val>
            <c:numRef>
              <c:f>'MIS Summary'!$C$4:$C$8</c:f>
              <c:numCache>
                <c:formatCode>General</c:formatCode>
                <c:ptCount val="5"/>
                <c:pt idx="0">
                  <c:v>220405</c:v>
                </c:pt>
                <c:pt idx="1">
                  <c:v>224369</c:v>
                </c:pt>
                <c:pt idx="2">
                  <c:v>179125</c:v>
                </c:pt>
                <c:pt idx="3">
                  <c:v>204540</c:v>
                </c:pt>
                <c:pt idx="4">
                  <c:v>174376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A-4D6F-9DC6-32408530D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584183"/>
        <c:axId val="7868665"/>
      </c:barChart>
      <c:catAx>
        <c:axId val="735841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68665"/>
        <c:crosses val="autoZero"/>
        <c:auto val="1"/>
        <c:lblAlgn val="ctr"/>
        <c:lblOffset val="100"/>
        <c:noMultiLvlLbl val="0"/>
      </c:catAx>
      <c:valAx>
        <c:axId val="78686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5841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160560</xdr:rowOff>
    </xdr:from>
    <xdr:to>
      <xdr:col>15</xdr:col>
      <xdr:colOff>255960</xdr:colOff>
      <xdr:row>18</xdr:row>
      <xdr:rowOff>161640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3.978551157408" createdVersion="8" refreshedVersion="8" minRefreshableVersion="3" recordCount="30" xr:uid="{69CA2150-E1D7-4691-BC89-7556154B3BEB}">
  <cacheSource type="worksheet">
    <worksheetSource ref="A1:G31" sheet="EmployeeData"/>
  </cacheSource>
  <cacheFields count="7">
    <cacheField name="EmpID" numFmtId="0">
      <sharedItems containsSemiMixedTypes="0" containsString="0" containsNumber="1" containsInteger="1" minValue="1001" maxValue="1030"/>
    </cacheField>
    <cacheField name="Name" numFmtId="0">
      <sharedItems/>
    </cacheField>
    <cacheField name="Department" numFmtId="0">
      <sharedItems count="5">
        <s v="Sales"/>
        <s v="HR"/>
        <s v="IT"/>
        <s v="Finance"/>
        <s v="Marketing"/>
      </sharedItems>
    </cacheField>
    <cacheField name="Role" numFmtId="0">
      <sharedItems/>
    </cacheField>
    <cacheField name="Monthly Salary (₹)" numFmtId="0">
      <sharedItems containsSemiMixedTypes="0" containsString="0" containsNumber="1" containsInteger="1" minValue="22212" maxValue="44174"/>
    </cacheField>
    <cacheField name="Attendance %" numFmtId="0">
      <sharedItems containsSemiMixedTypes="0" containsString="0" containsNumber="1" minValue="78.7" maxValue="98.1"/>
    </cacheField>
    <cacheField name="Dept Budget (₹) [VLOOKUP]" numFmtId="0">
      <sharedItems containsSemiMixedTypes="0" containsString="0" containsNumber="1" containsInteger="1" minValue="150000" maxValue="28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1"/>
    <s v="Aditi"/>
    <x v="0"/>
    <s v="Sales Executive"/>
    <n v="42952"/>
    <n v="80.3"/>
    <n v="250000"/>
  </r>
  <r>
    <n v="1002"/>
    <s v="Rohan"/>
    <x v="0"/>
    <s v="Sales Associate"/>
    <n v="31012"/>
    <n v="83.1"/>
    <n v="250000"/>
  </r>
  <r>
    <n v="1003"/>
    <s v="Priya"/>
    <x v="0"/>
    <s v="Sales Executive"/>
    <n v="26572"/>
    <n v="93.5"/>
    <n v="250000"/>
  </r>
  <r>
    <n v="1004"/>
    <s v="Karan"/>
    <x v="0"/>
    <s v="Sales Associate"/>
    <n v="44174"/>
    <n v="93.6"/>
    <n v="250000"/>
  </r>
  <r>
    <n v="1005"/>
    <s v="Neha"/>
    <x v="0"/>
    <s v="Sales Executive"/>
    <n v="39870"/>
    <n v="79.8"/>
    <n v="250000"/>
  </r>
  <r>
    <n v="1006"/>
    <s v="Arjun"/>
    <x v="0"/>
    <s v="Sales Associate"/>
    <n v="35825"/>
    <n v="78.7"/>
    <n v="250000"/>
  </r>
  <r>
    <n v="1007"/>
    <s v="Simran"/>
    <x v="1"/>
    <s v="HR Associate"/>
    <n v="25070"/>
    <n v="82.6"/>
    <n v="150000"/>
  </r>
  <r>
    <n v="1008"/>
    <s v="Vikram"/>
    <x v="1"/>
    <s v="Recruiter"/>
    <n v="38559"/>
    <n v="90.6"/>
    <n v="150000"/>
  </r>
  <r>
    <n v="1009"/>
    <s v="Isha"/>
    <x v="1"/>
    <s v="HR Associate"/>
    <n v="40390"/>
    <n v="82.2"/>
    <n v="150000"/>
  </r>
  <r>
    <n v="1010"/>
    <s v="Rahul"/>
    <x v="1"/>
    <s v="Recruiter"/>
    <n v="43295"/>
    <n v="92.7"/>
    <n v="150000"/>
  </r>
  <r>
    <n v="1011"/>
    <s v="Pooja"/>
    <x v="1"/>
    <s v="HR Associate"/>
    <n v="35746"/>
    <n v="82.6"/>
    <n v="150000"/>
  </r>
  <r>
    <n v="1012"/>
    <s v="Aman"/>
    <x v="1"/>
    <s v="Recruiter"/>
    <n v="41309"/>
    <n v="83.8"/>
    <n v="150000"/>
  </r>
  <r>
    <n v="1013"/>
    <s v="Divya"/>
    <x v="2"/>
    <s v="Support Engineer"/>
    <n v="22212"/>
    <n v="93.9"/>
    <n v="280000"/>
  </r>
  <r>
    <n v="1014"/>
    <s v="Sanjay"/>
    <x v="2"/>
    <s v="Data Analyst"/>
    <n v="27231"/>
    <n v="92.7"/>
    <n v="280000"/>
  </r>
  <r>
    <n v="1015"/>
    <s v="Tanvi"/>
    <x v="2"/>
    <s v="Support Engineer"/>
    <n v="33149"/>
    <n v="83.8"/>
    <n v="280000"/>
  </r>
  <r>
    <n v="1016"/>
    <s v="Manish"/>
    <x v="2"/>
    <s v="Data Analyst"/>
    <n v="29055"/>
    <n v="98.1"/>
    <n v="280000"/>
  </r>
  <r>
    <n v="1017"/>
    <s v="Ritu"/>
    <x v="2"/>
    <s v="Support Engineer"/>
    <n v="33029"/>
    <n v="80.099999999999994"/>
    <n v="280000"/>
  </r>
  <r>
    <n v="1018"/>
    <s v="Ankit"/>
    <x v="2"/>
    <s v="Data Analyst"/>
    <n v="34449"/>
    <n v="80"/>
    <n v="280000"/>
  </r>
  <r>
    <n v="1019"/>
    <s v="Sneha"/>
    <x v="3"/>
    <s v="Accounts Executive"/>
    <n v="33270"/>
    <n v="90.7"/>
    <n v="180000"/>
  </r>
  <r>
    <n v="1020"/>
    <s v="Yash"/>
    <x v="3"/>
    <s v="Finance Associate"/>
    <n v="23423"/>
    <n v="93.3"/>
    <n v="180000"/>
  </r>
  <r>
    <n v="1021"/>
    <s v="Meera"/>
    <x v="3"/>
    <s v="Accounts Executive"/>
    <n v="39571"/>
    <n v="80.599999999999994"/>
    <n v="180000"/>
  </r>
  <r>
    <n v="1022"/>
    <s v="Gaurav"/>
    <x v="3"/>
    <s v="Finance Associate"/>
    <n v="34403"/>
    <n v="79.7"/>
    <n v="180000"/>
  </r>
  <r>
    <n v="1023"/>
    <s v="Kavya"/>
    <x v="3"/>
    <s v="Accounts Executive"/>
    <n v="31606"/>
    <n v="95.4"/>
    <n v="180000"/>
  </r>
  <r>
    <n v="1024"/>
    <s v="Nikhil"/>
    <x v="3"/>
    <s v="Finance Associate"/>
    <n v="42267"/>
    <n v="96.6"/>
    <n v="180000"/>
  </r>
  <r>
    <n v="1025"/>
    <s v="Anjali"/>
    <x v="4"/>
    <s v="Marketing Associate"/>
    <n v="33850"/>
    <n v="90.1"/>
    <n v="200000"/>
  </r>
  <r>
    <n v="1026"/>
    <s v="Suresh"/>
    <x v="4"/>
    <s v="Content Executive"/>
    <n v="24279"/>
    <n v="79"/>
    <n v="200000"/>
  </r>
  <r>
    <n v="1027"/>
    <s v="Payal"/>
    <x v="4"/>
    <s v="Marketing Associate"/>
    <n v="29467"/>
    <n v="94.2"/>
    <n v="200000"/>
  </r>
  <r>
    <n v="1028"/>
    <s v="Rajesh"/>
    <x v="4"/>
    <s v="Content Executive"/>
    <n v="24614"/>
    <n v="96"/>
    <n v="200000"/>
  </r>
  <r>
    <n v="1029"/>
    <s v="Shreya"/>
    <x v="4"/>
    <s v="Marketing Associate"/>
    <n v="25309"/>
    <n v="86"/>
    <n v="200000"/>
  </r>
  <r>
    <n v="1030"/>
    <s v="Varun"/>
    <x v="4"/>
    <s v="Content Executive"/>
    <n v="36857"/>
    <n v="91.3"/>
    <n v="2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58B91-3F69-4836-AD27-43D44F4A1247}" name="PivotTable1" cacheId="2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9" firstHeaderRow="0" firstDataRow="1" firstDataCol="1"/>
  <pivotFields count="7">
    <pivotField compact="0" outline="0" showAll="0"/>
    <pivotField compact="0" outline="0" showAll="0"/>
    <pivotField axis="axisRow" compact="0" outline="0" showAll="0">
      <items count="6">
        <item x="3"/>
        <item x="1"/>
        <item x="2"/>
        <item x="4"/>
        <item x="0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onthly salary" fld="4" baseField="0" baseItem="0"/>
    <dataField name="Average of Attendance %" fld="5" subtotal="average" baseField="0" baseItem="0"/>
  </dataFields>
  <formats count="2"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zoomScaleNormal="100" workbookViewId="0">
      <pane ySplit="1" topLeftCell="A2" activePane="bottomLeft" state="frozen"/>
      <selection pane="bottomLeft" activeCell="H7" sqref="H7"/>
    </sheetView>
  </sheetViews>
  <sheetFormatPr defaultColWidth="8.7109375" defaultRowHeight="15"/>
  <cols>
    <col min="1" max="1" width="8" customWidth="1"/>
    <col min="2" max="3" width="12" customWidth="1"/>
    <col min="4" max="4" width="20" customWidth="1"/>
    <col min="5" max="5" width="18" customWidth="1"/>
    <col min="6" max="6" width="14" customWidth="1"/>
    <col min="7" max="7" width="22" customWidth="1"/>
  </cols>
  <sheetData>
    <row r="1" spans="1:7" ht="26.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s="3">
        <v>1001</v>
      </c>
      <c r="B2" s="3" t="s">
        <v>7</v>
      </c>
      <c r="C2" s="3" t="s">
        <v>8</v>
      </c>
      <c r="D2" s="3" t="s">
        <v>9</v>
      </c>
      <c r="E2" s="3">
        <v>42952</v>
      </c>
      <c r="F2" s="3">
        <v>80.3</v>
      </c>
      <c r="G2" s="3">
        <f>VLOOKUP(C2,DeptBudget!$A$2:$C$6,2,FALSE())</f>
        <v>250000</v>
      </c>
    </row>
    <row r="3" spans="1:7">
      <c r="A3" s="3">
        <v>1002</v>
      </c>
      <c r="B3" s="3" t="s">
        <v>10</v>
      </c>
      <c r="C3" s="3" t="s">
        <v>8</v>
      </c>
      <c r="D3" s="3" t="s">
        <v>11</v>
      </c>
      <c r="E3" s="3">
        <v>31012</v>
      </c>
      <c r="F3" s="3">
        <v>83.1</v>
      </c>
      <c r="G3" s="3">
        <f>VLOOKUP(C3,DeptBudget!$A$2:$C$6,2,FALSE())</f>
        <v>250000</v>
      </c>
    </row>
    <row r="4" spans="1:7">
      <c r="A4" s="3">
        <v>1003</v>
      </c>
      <c r="B4" s="3" t="s">
        <v>12</v>
      </c>
      <c r="C4" s="3" t="s">
        <v>8</v>
      </c>
      <c r="D4" s="3" t="s">
        <v>9</v>
      </c>
      <c r="E4" s="3">
        <v>26572</v>
      </c>
      <c r="F4" s="3">
        <v>93.5</v>
      </c>
      <c r="G4" s="3">
        <f>VLOOKUP(C4,DeptBudget!$A$2:$C$6,2,FALSE())</f>
        <v>250000</v>
      </c>
    </row>
    <row r="5" spans="1:7">
      <c r="A5" s="3">
        <v>1004</v>
      </c>
      <c r="B5" s="3" t="s">
        <v>13</v>
      </c>
      <c r="C5" s="3" t="s">
        <v>8</v>
      </c>
      <c r="D5" s="3" t="s">
        <v>11</v>
      </c>
      <c r="E5" s="3">
        <v>44174</v>
      </c>
      <c r="F5" s="3">
        <v>93.6</v>
      </c>
      <c r="G5" s="3">
        <f>VLOOKUP(C5,DeptBudget!$A$2:$C$6,2,FALSE())</f>
        <v>250000</v>
      </c>
    </row>
    <row r="6" spans="1:7">
      <c r="A6" s="3">
        <v>1005</v>
      </c>
      <c r="B6" s="3" t="s">
        <v>14</v>
      </c>
      <c r="C6" s="3" t="s">
        <v>8</v>
      </c>
      <c r="D6" s="3" t="s">
        <v>9</v>
      </c>
      <c r="E6" s="3">
        <v>39870</v>
      </c>
      <c r="F6" s="3">
        <v>79.8</v>
      </c>
      <c r="G6" s="3">
        <f>VLOOKUP(C6,DeptBudget!$A$2:$C$6,2,FALSE())</f>
        <v>250000</v>
      </c>
    </row>
    <row r="7" spans="1:7">
      <c r="A7" s="3">
        <v>1006</v>
      </c>
      <c r="B7" s="3" t="s">
        <v>15</v>
      </c>
      <c r="C7" s="3" t="s">
        <v>8</v>
      </c>
      <c r="D7" s="3" t="s">
        <v>11</v>
      </c>
      <c r="E7" s="3">
        <v>35825</v>
      </c>
      <c r="F7" s="3">
        <v>78.7</v>
      </c>
      <c r="G7" s="3">
        <f>VLOOKUP(C7,DeptBudget!$A$2:$C$6,2,FALSE())</f>
        <v>250000</v>
      </c>
    </row>
    <row r="8" spans="1:7">
      <c r="A8" s="3">
        <v>1007</v>
      </c>
      <c r="B8" s="3" t="s">
        <v>16</v>
      </c>
      <c r="C8" s="3" t="s">
        <v>17</v>
      </c>
      <c r="D8" s="3" t="s">
        <v>18</v>
      </c>
      <c r="E8" s="3">
        <v>25070</v>
      </c>
      <c r="F8" s="3">
        <v>82.6</v>
      </c>
      <c r="G8" s="3">
        <f>VLOOKUP(C8,DeptBudget!$A$2:$C$6,2,FALSE())</f>
        <v>150000</v>
      </c>
    </row>
    <row r="9" spans="1:7">
      <c r="A9" s="3">
        <v>1008</v>
      </c>
      <c r="B9" s="3" t="s">
        <v>19</v>
      </c>
      <c r="C9" s="3" t="s">
        <v>17</v>
      </c>
      <c r="D9" s="3" t="s">
        <v>20</v>
      </c>
      <c r="E9" s="3">
        <v>38559</v>
      </c>
      <c r="F9" s="3">
        <v>90.6</v>
      </c>
      <c r="G9" s="3">
        <f>VLOOKUP(C9,DeptBudget!$A$2:$C$6,2,FALSE())</f>
        <v>150000</v>
      </c>
    </row>
    <row r="10" spans="1:7">
      <c r="A10" s="3">
        <v>1009</v>
      </c>
      <c r="B10" s="3" t="s">
        <v>21</v>
      </c>
      <c r="C10" s="3" t="s">
        <v>17</v>
      </c>
      <c r="D10" s="3" t="s">
        <v>18</v>
      </c>
      <c r="E10" s="3">
        <v>40390</v>
      </c>
      <c r="F10" s="3">
        <v>82.2</v>
      </c>
      <c r="G10" s="3">
        <f>VLOOKUP(C10,DeptBudget!$A$2:$C$6,2,FALSE())</f>
        <v>150000</v>
      </c>
    </row>
    <row r="11" spans="1:7">
      <c r="A11" s="3">
        <v>1010</v>
      </c>
      <c r="B11" s="3" t="s">
        <v>22</v>
      </c>
      <c r="C11" s="3" t="s">
        <v>17</v>
      </c>
      <c r="D11" s="3" t="s">
        <v>20</v>
      </c>
      <c r="E11" s="3">
        <v>43295</v>
      </c>
      <c r="F11" s="3">
        <v>92.7</v>
      </c>
      <c r="G11" s="3">
        <f>VLOOKUP(C11,DeptBudget!$A$2:$C$6,2,FALSE())</f>
        <v>150000</v>
      </c>
    </row>
    <row r="12" spans="1:7">
      <c r="A12" s="3">
        <v>1011</v>
      </c>
      <c r="B12" s="3" t="s">
        <v>23</v>
      </c>
      <c r="C12" s="3" t="s">
        <v>17</v>
      </c>
      <c r="D12" s="3" t="s">
        <v>18</v>
      </c>
      <c r="E12" s="3">
        <v>35746</v>
      </c>
      <c r="F12" s="3">
        <v>82.6</v>
      </c>
      <c r="G12" s="3">
        <f>VLOOKUP(C12,DeptBudget!$A$2:$C$6,2,FALSE())</f>
        <v>150000</v>
      </c>
    </row>
    <row r="13" spans="1:7">
      <c r="A13" s="3">
        <v>1012</v>
      </c>
      <c r="B13" s="3" t="s">
        <v>24</v>
      </c>
      <c r="C13" s="3" t="s">
        <v>17</v>
      </c>
      <c r="D13" s="3" t="s">
        <v>20</v>
      </c>
      <c r="E13" s="3">
        <v>41309</v>
      </c>
      <c r="F13" s="3">
        <v>83.8</v>
      </c>
      <c r="G13" s="3">
        <f>VLOOKUP(C13,DeptBudget!$A$2:$C$6,2,FALSE())</f>
        <v>150000</v>
      </c>
    </row>
    <row r="14" spans="1:7">
      <c r="A14" s="3">
        <v>1013</v>
      </c>
      <c r="B14" s="3" t="s">
        <v>25</v>
      </c>
      <c r="C14" s="3" t="s">
        <v>26</v>
      </c>
      <c r="D14" s="3" t="s">
        <v>27</v>
      </c>
      <c r="E14" s="3">
        <v>22212</v>
      </c>
      <c r="F14" s="3">
        <v>93.9</v>
      </c>
      <c r="G14" s="3">
        <f>VLOOKUP(C14,DeptBudget!$A$2:$C$6,2,FALSE())</f>
        <v>280000</v>
      </c>
    </row>
    <row r="15" spans="1:7">
      <c r="A15" s="3">
        <v>1014</v>
      </c>
      <c r="B15" s="3" t="s">
        <v>28</v>
      </c>
      <c r="C15" s="3" t="s">
        <v>26</v>
      </c>
      <c r="D15" s="3" t="s">
        <v>29</v>
      </c>
      <c r="E15" s="3">
        <v>27231</v>
      </c>
      <c r="F15" s="3">
        <v>92.7</v>
      </c>
      <c r="G15" s="3">
        <f>VLOOKUP(C15,DeptBudget!$A$2:$C$6,2,FALSE())</f>
        <v>280000</v>
      </c>
    </row>
    <row r="16" spans="1:7">
      <c r="A16" s="3">
        <v>1015</v>
      </c>
      <c r="B16" s="3" t="s">
        <v>30</v>
      </c>
      <c r="C16" s="3" t="s">
        <v>26</v>
      </c>
      <c r="D16" s="3" t="s">
        <v>27</v>
      </c>
      <c r="E16" s="3">
        <v>33149</v>
      </c>
      <c r="F16" s="3">
        <v>83.8</v>
      </c>
      <c r="G16" s="3">
        <f>VLOOKUP(C16,DeptBudget!$A$2:$C$6,2,FALSE())</f>
        <v>280000</v>
      </c>
    </row>
    <row r="17" spans="1:7">
      <c r="A17" s="3">
        <v>1016</v>
      </c>
      <c r="B17" s="3" t="s">
        <v>31</v>
      </c>
      <c r="C17" s="3" t="s">
        <v>26</v>
      </c>
      <c r="D17" s="3" t="s">
        <v>29</v>
      </c>
      <c r="E17" s="3">
        <v>29055</v>
      </c>
      <c r="F17" s="3">
        <v>98.1</v>
      </c>
      <c r="G17" s="3">
        <f>VLOOKUP(C17,DeptBudget!$A$2:$C$6,2,FALSE())</f>
        <v>280000</v>
      </c>
    </row>
    <row r="18" spans="1:7">
      <c r="A18" s="3">
        <v>1017</v>
      </c>
      <c r="B18" s="3" t="s">
        <v>32</v>
      </c>
      <c r="C18" s="3" t="s">
        <v>26</v>
      </c>
      <c r="D18" s="3" t="s">
        <v>27</v>
      </c>
      <c r="E18" s="3">
        <v>33029</v>
      </c>
      <c r="F18" s="3">
        <v>80.099999999999994</v>
      </c>
      <c r="G18" s="3">
        <f>VLOOKUP(C18,DeptBudget!$A$2:$C$6,2,FALSE())</f>
        <v>280000</v>
      </c>
    </row>
    <row r="19" spans="1:7">
      <c r="A19" s="3">
        <v>1018</v>
      </c>
      <c r="B19" s="3" t="s">
        <v>33</v>
      </c>
      <c r="C19" s="3" t="s">
        <v>26</v>
      </c>
      <c r="D19" s="3" t="s">
        <v>29</v>
      </c>
      <c r="E19" s="3">
        <v>34449</v>
      </c>
      <c r="F19" s="3">
        <v>80</v>
      </c>
      <c r="G19" s="3">
        <f>VLOOKUP(C19,DeptBudget!$A$2:$C$6,2,FALSE())</f>
        <v>280000</v>
      </c>
    </row>
    <row r="20" spans="1:7">
      <c r="A20" s="3">
        <v>1019</v>
      </c>
      <c r="B20" s="3" t="s">
        <v>34</v>
      </c>
      <c r="C20" s="3" t="s">
        <v>35</v>
      </c>
      <c r="D20" s="3" t="s">
        <v>36</v>
      </c>
      <c r="E20" s="3">
        <v>33270</v>
      </c>
      <c r="F20" s="3">
        <v>90.7</v>
      </c>
      <c r="G20" s="3">
        <f>VLOOKUP(C20,DeptBudget!$A$2:$C$6,2,FALSE())</f>
        <v>180000</v>
      </c>
    </row>
    <row r="21" spans="1:7">
      <c r="A21" s="3">
        <v>1020</v>
      </c>
      <c r="B21" s="3" t="s">
        <v>37</v>
      </c>
      <c r="C21" s="3" t="s">
        <v>35</v>
      </c>
      <c r="D21" s="3" t="s">
        <v>38</v>
      </c>
      <c r="E21" s="3">
        <v>23423</v>
      </c>
      <c r="F21" s="3">
        <v>93.3</v>
      </c>
      <c r="G21" s="3">
        <f>VLOOKUP(C21,DeptBudget!$A$2:$C$6,2,FALSE())</f>
        <v>180000</v>
      </c>
    </row>
    <row r="22" spans="1:7">
      <c r="A22" s="3">
        <v>1021</v>
      </c>
      <c r="B22" s="3" t="s">
        <v>39</v>
      </c>
      <c r="C22" s="3" t="s">
        <v>35</v>
      </c>
      <c r="D22" s="3" t="s">
        <v>36</v>
      </c>
      <c r="E22" s="3">
        <v>39571</v>
      </c>
      <c r="F22" s="3">
        <v>80.599999999999994</v>
      </c>
      <c r="G22" s="3">
        <f>VLOOKUP(C22,DeptBudget!$A$2:$C$6,2,FALSE())</f>
        <v>180000</v>
      </c>
    </row>
    <row r="23" spans="1:7">
      <c r="A23" s="3">
        <v>1022</v>
      </c>
      <c r="B23" s="3" t="s">
        <v>40</v>
      </c>
      <c r="C23" s="3" t="s">
        <v>35</v>
      </c>
      <c r="D23" s="3" t="s">
        <v>38</v>
      </c>
      <c r="E23" s="3">
        <v>34403</v>
      </c>
      <c r="F23" s="3">
        <v>79.7</v>
      </c>
      <c r="G23" s="3">
        <f>VLOOKUP(C23,DeptBudget!$A$2:$C$6,2,FALSE())</f>
        <v>180000</v>
      </c>
    </row>
    <row r="24" spans="1:7">
      <c r="A24" s="3">
        <v>1023</v>
      </c>
      <c r="B24" s="3" t="s">
        <v>41</v>
      </c>
      <c r="C24" s="3" t="s">
        <v>35</v>
      </c>
      <c r="D24" s="3" t="s">
        <v>36</v>
      </c>
      <c r="E24" s="3">
        <v>31606</v>
      </c>
      <c r="F24" s="3">
        <v>95.4</v>
      </c>
      <c r="G24" s="3">
        <f>VLOOKUP(C24,DeptBudget!$A$2:$C$6,2,FALSE())</f>
        <v>180000</v>
      </c>
    </row>
    <row r="25" spans="1:7">
      <c r="A25" s="3">
        <v>1024</v>
      </c>
      <c r="B25" s="3" t="s">
        <v>42</v>
      </c>
      <c r="C25" s="3" t="s">
        <v>35</v>
      </c>
      <c r="D25" s="3" t="s">
        <v>38</v>
      </c>
      <c r="E25" s="3">
        <v>42267</v>
      </c>
      <c r="F25" s="3">
        <v>96.6</v>
      </c>
      <c r="G25" s="3">
        <f>VLOOKUP(C25,DeptBudget!$A$2:$C$6,2,FALSE())</f>
        <v>180000</v>
      </c>
    </row>
    <row r="26" spans="1:7">
      <c r="A26" s="3">
        <v>1025</v>
      </c>
      <c r="B26" s="3" t="s">
        <v>43</v>
      </c>
      <c r="C26" s="3" t="s">
        <v>44</v>
      </c>
      <c r="D26" s="3" t="s">
        <v>45</v>
      </c>
      <c r="E26" s="3">
        <v>33850</v>
      </c>
      <c r="F26" s="3">
        <v>90.1</v>
      </c>
      <c r="G26" s="3">
        <f>VLOOKUP(C26,DeptBudget!$A$2:$C$6,2,FALSE())</f>
        <v>200000</v>
      </c>
    </row>
    <row r="27" spans="1:7">
      <c r="A27" s="3">
        <v>1026</v>
      </c>
      <c r="B27" s="3" t="s">
        <v>46</v>
      </c>
      <c r="C27" s="3" t="s">
        <v>44</v>
      </c>
      <c r="D27" s="3" t="s">
        <v>47</v>
      </c>
      <c r="E27" s="3">
        <v>24279</v>
      </c>
      <c r="F27" s="3">
        <v>79</v>
      </c>
      <c r="G27" s="3">
        <f>VLOOKUP(C27,DeptBudget!$A$2:$C$6,2,FALSE())</f>
        <v>200000</v>
      </c>
    </row>
    <row r="28" spans="1:7">
      <c r="A28" s="3">
        <v>1027</v>
      </c>
      <c r="B28" s="3" t="s">
        <v>48</v>
      </c>
      <c r="C28" s="3" t="s">
        <v>44</v>
      </c>
      <c r="D28" s="3" t="s">
        <v>45</v>
      </c>
      <c r="E28" s="3">
        <v>29467</v>
      </c>
      <c r="F28" s="3">
        <v>94.2</v>
      </c>
      <c r="G28" s="3">
        <f>VLOOKUP(C28,DeptBudget!$A$2:$C$6,2,FALSE())</f>
        <v>200000</v>
      </c>
    </row>
    <row r="29" spans="1:7">
      <c r="A29" s="3">
        <v>1028</v>
      </c>
      <c r="B29" s="3" t="s">
        <v>49</v>
      </c>
      <c r="C29" s="3" t="s">
        <v>44</v>
      </c>
      <c r="D29" s="3" t="s">
        <v>47</v>
      </c>
      <c r="E29" s="3">
        <v>24614</v>
      </c>
      <c r="F29" s="3">
        <v>96</v>
      </c>
      <c r="G29" s="3">
        <f>VLOOKUP(C29,DeptBudget!$A$2:$C$6,2,FALSE())</f>
        <v>200000</v>
      </c>
    </row>
    <row r="30" spans="1:7">
      <c r="A30" s="3">
        <v>1029</v>
      </c>
      <c r="B30" s="3" t="s">
        <v>50</v>
      </c>
      <c r="C30" s="3" t="s">
        <v>44</v>
      </c>
      <c r="D30" s="3" t="s">
        <v>45</v>
      </c>
      <c r="E30" s="3">
        <v>25309</v>
      </c>
      <c r="F30" s="3">
        <v>86</v>
      </c>
      <c r="G30" s="3">
        <f>VLOOKUP(C30,DeptBudget!$A$2:$C$6,2,FALSE())</f>
        <v>200000</v>
      </c>
    </row>
    <row r="31" spans="1:7">
      <c r="A31" s="3">
        <v>1030</v>
      </c>
      <c r="B31" s="3" t="s">
        <v>51</v>
      </c>
      <c r="C31" s="3" t="s">
        <v>44</v>
      </c>
      <c r="D31" s="3" t="s">
        <v>47</v>
      </c>
      <c r="E31" s="3">
        <v>36857</v>
      </c>
      <c r="F31" s="3">
        <v>91.3</v>
      </c>
      <c r="G31" s="3">
        <f>VLOOKUP(C31,DeptBudget!$A$2:$C$6,2,FALSE())</f>
        <v>200000</v>
      </c>
    </row>
  </sheetData>
  <conditionalFormatting sqref="F2:F31">
    <cfRule type="cellIs" dxfId="0" priority="2" operator="lessThan">
      <formula>90</formula>
    </cfRule>
  </conditionalFormatting>
  <dataValidations count="1">
    <dataValidation type="list" errorTitle="Invalid Department" error="Please choose a department from the list." sqref="C2:C31" xr:uid="{00000000-0002-0000-0000-000000000000}">
      <formula1>"Sales,HR,IT,Finance,Marketing"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zoomScaleNormal="100" workbookViewId="0"/>
  </sheetViews>
  <sheetFormatPr defaultColWidth="8.7109375" defaultRowHeight="15"/>
  <cols>
    <col min="1" max="1" width="14" customWidth="1"/>
    <col min="2" max="2" width="20" customWidth="1"/>
    <col min="3" max="3" width="18" customWidth="1"/>
  </cols>
  <sheetData>
    <row r="1" spans="1:5">
      <c r="A1" s="1" t="s">
        <v>2</v>
      </c>
      <c r="B1" s="1" t="s">
        <v>52</v>
      </c>
      <c r="C1" s="1" t="s">
        <v>53</v>
      </c>
      <c r="E1" s="4" t="s">
        <v>54</v>
      </c>
    </row>
    <row r="2" spans="1:5">
      <c r="A2" s="3" t="s">
        <v>8</v>
      </c>
      <c r="B2" s="3">
        <v>250000</v>
      </c>
      <c r="C2" s="3">
        <v>6</v>
      </c>
    </row>
    <row r="3" spans="1:5">
      <c r="A3" s="3" t="s">
        <v>17</v>
      </c>
      <c r="B3" s="3">
        <v>150000</v>
      </c>
      <c r="C3" s="3">
        <v>6</v>
      </c>
    </row>
    <row r="4" spans="1:5">
      <c r="A4" s="3" t="s">
        <v>26</v>
      </c>
      <c r="B4" s="3">
        <v>280000</v>
      </c>
      <c r="C4" s="3">
        <v>6</v>
      </c>
    </row>
    <row r="5" spans="1:5">
      <c r="A5" s="3" t="s">
        <v>35</v>
      </c>
      <c r="B5" s="3">
        <v>180000</v>
      </c>
      <c r="C5" s="3">
        <v>6</v>
      </c>
    </row>
    <row r="6" spans="1:5">
      <c r="A6" s="3" t="s">
        <v>44</v>
      </c>
      <c r="B6" s="3">
        <v>200000</v>
      </c>
      <c r="C6" s="3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zoomScaleNormal="100" workbookViewId="0"/>
  </sheetViews>
  <sheetFormatPr defaultColWidth="8.7109375" defaultRowHeight="15"/>
  <cols>
    <col min="1" max="1" width="20" customWidth="1"/>
    <col min="2" max="5" width="10" customWidth="1"/>
    <col min="6" max="6" width="12" customWidth="1"/>
  </cols>
  <sheetData>
    <row r="1" spans="1:6">
      <c r="A1" s="1" t="s">
        <v>55</v>
      </c>
      <c r="B1" s="1" t="s">
        <v>8</v>
      </c>
      <c r="C1" s="1" t="s">
        <v>17</v>
      </c>
      <c r="D1" s="1" t="s">
        <v>26</v>
      </c>
      <c r="E1" s="1" t="s">
        <v>35</v>
      </c>
      <c r="F1" s="1" t="s">
        <v>44</v>
      </c>
    </row>
    <row r="2" spans="1:6">
      <c r="A2" s="3" t="s">
        <v>56</v>
      </c>
      <c r="B2" s="3">
        <v>18</v>
      </c>
      <c r="C2" s="3">
        <v>4</v>
      </c>
      <c r="D2" s="3">
        <v>12</v>
      </c>
      <c r="E2" s="3">
        <v>6</v>
      </c>
      <c r="F2" s="3">
        <v>9</v>
      </c>
    </row>
    <row r="3" spans="1:6">
      <c r="A3" s="3" t="s">
        <v>53</v>
      </c>
      <c r="B3" s="3">
        <v>6</v>
      </c>
      <c r="C3" s="3">
        <v>6</v>
      </c>
      <c r="D3" s="3">
        <v>6</v>
      </c>
      <c r="E3" s="3">
        <v>6</v>
      </c>
      <c r="F3" s="3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topLeftCell="A78" zoomScaleNormal="100" workbookViewId="0">
      <selection activeCell="E10" sqref="E10"/>
    </sheetView>
  </sheetViews>
  <sheetFormatPr defaultColWidth="8.7109375" defaultRowHeight="15"/>
  <cols>
    <col min="1" max="1" width="16" customWidth="1"/>
    <col min="2" max="2" width="12" customWidth="1"/>
    <col min="3" max="4" width="18" customWidth="1"/>
    <col min="5" max="5" width="26" customWidth="1"/>
  </cols>
  <sheetData>
    <row r="1" spans="1:5" ht="17.45">
      <c r="A1" s="7" t="s">
        <v>57</v>
      </c>
      <c r="B1" s="7"/>
      <c r="C1" s="7"/>
      <c r="D1" s="7"/>
      <c r="E1" s="7"/>
    </row>
    <row r="3" spans="1:5">
      <c r="A3" s="1" t="s">
        <v>2</v>
      </c>
      <c r="B3" s="1" t="s">
        <v>58</v>
      </c>
      <c r="C3" s="1" t="s">
        <v>59</v>
      </c>
      <c r="D3" s="1" t="s">
        <v>60</v>
      </c>
      <c r="E3" s="1" t="s">
        <v>61</v>
      </c>
    </row>
    <row r="4" spans="1:5">
      <c r="A4" s="3" t="s">
        <v>8</v>
      </c>
      <c r="B4" s="3">
        <f>COUNTIF(EmployeeData!$C$2:$C$31,A4)</f>
        <v>6</v>
      </c>
      <c r="C4" s="3">
        <f>SUMIF(EmployeeData!$C$2:$C$31,A4,EmployeeData!$E$2:$E$31)</f>
        <v>220405</v>
      </c>
      <c r="D4" s="3">
        <f>ROUND(AVERAGEIF(EmployeeData!$C$2:$C$31,A4,EmployeeData!$F$2:$F$31),1)</f>
        <v>84.8</v>
      </c>
      <c r="E4" s="3">
        <f>HLOOKUP(A4,QuarterlyTargets!$B$1:$F$3,2,FALSE())</f>
        <v>18</v>
      </c>
    </row>
    <row r="5" spans="1:5">
      <c r="A5" s="3" t="s">
        <v>17</v>
      </c>
      <c r="B5" s="3">
        <f>COUNTIF(EmployeeData!$C$2:$C$31,A5)</f>
        <v>6</v>
      </c>
      <c r="C5" s="3">
        <f>SUMIF(EmployeeData!$C$2:$C$31,A5,EmployeeData!$E$2:$E$31)</f>
        <v>224369</v>
      </c>
      <c r="D5" s="3">
        <f>ROUND(AVERAGEIF(EmployeeData!$C$2:$C$31,A5,EmployeeData!$F$2:$F$31),1)</f>
        <v>85.8</v>
      </c>
      <c r="E5" s="3">
        <f>HLOOKUP(A5,QuarterlyTargets!$B$1:$F$3,2,FALSE())</f>
        <v>4</v>
      </c>
    </row>
    <row r="6" spans="1:5">
      <c r="A6" s="3" t="s">
        <v>26</v>
      </c>
      <c r="B6" s="3">
        <f>COUNTIF(EmployeeData!$C$2:$C$31,A6)</f>
        <v>6</v>
      </c>
      <c r="C6" s="3">
        <f>SUMIF(EmployeeData!$C$2:$C$31,A6,EmployeeData!$E$2:$E$31)</f>
        <v>179125</v>
      </c>
      <c r="D6" s="3">
        <f>ROUND(AVERAGEIF(EmployeeData!$C$2:$C$31,A6,EmployeeData!$F$2:$F$31),1)</f>
        <v>88.1</v>
      </c>
      <c r="E6" s="3">
        <f>HLOOKUP(A6,QuarterlyTargets!$B$1:$F$3,2,FALSE())</f>
        <v>12</v>
      </c>
    </row>
    <row r="7" spans="1:5">
      <c r="A7" s="3" t="s">
        <v>35</v>
      </c>
      <c r="B7" s="3">
        <f>COUNTIF(EmployeeData!$C$2:$C$31,A7)</f>
        <v>6</v>
      </c>
      <c r="C7" s="3">
        <f>SUMIF(EmployeeData!$C$2:$C$31,A7,EmployeeData!$E$2:$E$31)</f>
        <v>204540</v>
      </c>
      <c r="D7" s="3">
        <f>ROUND(AVERAGEIF(EmployeeData!$C$2:$C$31,A7,EmployeeData!$F$2:$F$31),1)</f>
        <v>89.4</v>
      </c>
      <c r="E7" s="3">
        <f>HLOOKUP(A7,QuarterlyTargets!$B$1:$F$3,2,FALSE())</f>
        <v>6</v>
      </c>
    </row>
    <row r="8" spans="1:5">
      <c r="A8" s="3" t="s">
        <v>44</v>
      </c>
      <c r="B8" s="3">
        <f>COUNTIF(EmployeeData!$C$2:$C$31,A8)</f>
        <v>6</v>
      </c>
      <c r="C8" s="3">
        <f>SUMIF(EmployeeData!$C$2:$C$31,A8,EmployeeData!$E$2:$E$31)</f>
        <v>174376</v>
      </c>
      <c r="D8" s="3">
        <f>ROUND(AVERAGEIF(EmployeeData!$C$2:$C$31,A8,EmployeeData!$F$2:$F$31),1)</f>
        <v>89.4</v>
      </c>
      <c r="E8" s="3">
        <f>HLOOKUP(A8,QuarterlyTargets!$B$1:$F$3,2,FALSE())</f>
        <v>9</v>
      </c>
    </row>
    <row r="10" spans="1:5">
      <c r="A10" s="4" t="s">
        <v>62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7E61C-236D-4068-B448-8C669C3FBBAC}">
  <dimension ref="A3:C9"/>
  <sheetViews>
    <sheetView tabSelected="1" workbookViewId="0">
      <selection activeCell="B3" sqref="B3"/>
    </sheetView>
  </sheetViews>
  <sheetFormatPr defaultRowHeight="15"/>
  <cols>
    <col min="1" max="1" width="15.140625" bestFit="1" customWidth="1"/>
    <col min="2" max="2" width="24.7109375" bestFit="1" customWidth="1"/>
    <col min="3" max="3" width="24" bestFit="1" customWidth="1"/>
  </cols>
  <sheetData>
    <row r="3" spans="1:3">
      <c r="A3" s="5" t="s">
        <v>2</v>
      </c>
      <c r="B3" s="8" t="s">
        <v>63</v>
      </c>
      <c r="C3" s="8" t="s">
        <v>64</v>
      </c>
    </row>
    <row r="4" spans="1:3">
      <c r="A4" t="s">
        <v>35</v>
      </c>
      <c r="B4" s="6">
        <v>204540</v>
      </c>
      <c r="C4" s="6">
        <v>89.38333333333334</v>
      </c>
    </row>
    <row r="5" spans="1:3">
      <c r="A5" t="s">
        <v>17</v>
      </c>
      <c r="B5" s="6">
        <v>224369</v>
      </c>
      <c r="C5" s="6">
        <v>85.749999999999986</v>
      </c>
    </row>
    <row r="6" spans="1:3">
      <c r="A6" t="s">
        <v>26</v>
      </c>
      <c r="B6" s="6">
        <v>179125</v>
      </c>
      <c r="C6" s="6">
        <v>88.100000000000009</v>
      </c>
    </row>
    <row r="7" spans="1:3">
      <c r="A7" t="s">
        <v>44</v>
      </c>
      <c r="B7" s="6">
        <v>174376</v>
      </c>
      <c r="C7" s="6">
        <v>89.433333333333337</v>
      </c>
    </row>
    <row r="8" spans="1:3">
      <c r="A8" t="s">
        <v>8</v>
      </c>
      <c r="B8" s="6">
        <v>220405</v>
      </c>
      <c r="C8" s="6">
        <v>84.833333333333329</v>
      </c>
    </row>
    <row r="9" spans="1:3">
      <c r="A9" t="s">
        <v>65</v>
      </c>
      <c r="B9" s="6">
        <v>1002815</v>
      </c>
      <c r="C9" s="6">
        <v>87.5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qnazyx@gmail.com</cp:lastModifiedBy>
  <cp:revision>1</cp:revision>
  <dcterms:created xsi:type="dcterms:W3CDTF">2026-07-20T13:06:43Z</dcterms:created>
  <dcterms:modified xsi:type="dcterms:W3CDTF">2026-07-20T18:23:57Z</dcterms:modified>
  <cp:category/>
  <cp:contentStatus/>
</cp:coreProperties>
</file>